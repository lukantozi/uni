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apk\Desktop\Macroeconomics\Market of goods &amp; Fiscal policy\"/>
    </mc:Choice>
  </mc:AlternateContent>
  <xr:revisionPtr revIDLastSave="0" documentId="13_ncr:1_{A444A8E9-5390-4A03-91BA-CEC2349F7E14}" xr6:coauthVersionLast="47" xr6:coauthVersionMax="47" xr10:uidLastSave="{00000000-0000-0000-0000-000000000000}"/>
  <bookViews>
    <workbookView xWindow="-108" yWindow="-108" windowWidth="23256" windowHeight="12576" xr2:uid="{076558E2-6F30-45BA-9A3E-A193A062FB1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E12" i="1"/>
  <c r="G9" i="1"/>
  <c r="D4" i="1"/>
  <c r="E4" i="1" s="1"/>
  <c r="C4" i="1" l="1"/>
  <c r="F5" i="1" s="1"/>
  <c r="D5" i="1" l="1"/>
  <c r="E5" i="1" l="1"/>
  <c r="C5" i="1" l="1"/>
  <c r="F6" i="1" s="1"/>
  <c r="D6" i="1" l="1"/>
  <c r="E6" i="1" l="1"/>
  <c r="C6" i="1" l="1"/>
  <c r="F7" i="1" s="1"/>
  <c r="D7" i="1" l="1"/>
  <c r="E7" i="1" l="1"/>
  <c r="C7" i="1" l="1"/>
  <c r="F8" i="1" s="1"/>
  <c r="D8" i="1" l="1"/>
  <c r="E8" i="1" l="1"/>
  <c r="D9" i="1"/>
  <c r="F9" i="1" l="1"/>
  <c r="E9" i="1"/>
  <c r="C8" i="1" l="1"/>
  <c r="C9" i="1" s="1"/>
</calcChain>
</file>

<file path=xl/sharedStrings.xml><?xml version="1.0" encoding="utf-8"?>
<sst xmlns="http://schemas.openxmlformats.org/spreadsheetml/2006/main" count="20" uniqueCount="13">
  <si>
    <t>STAGE</t>
  </si>
  <si>
    <t>CHANGE OF GDP</t>
  </si>
  <si>
    <t>CHANGE OF PDI</t>
  </si>
  <si>
    <t>CHANGE OF CONSUMPTION</t>
  </si>
  <si>
    <t>CHANGE OF IMPORT</t>
  </si>
  <si>
    <t>CHANGE OF           GOVERNMENT SPENDINGS</t>
  </si>
  <si>
    <t>X</t>
  </si>
  <si>
    <t>t</t>
  </si>
  <si>
    <t>SUM OF CHANGES</t>
  </si>
  <si>
    <t>MULTIPLIER OF SPENDINGS</t>
  </si>
  <si>
    <t>MPC</t>
  </si>
  <si>
    <t>MPS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</si>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</sst>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B164-E7E3-411B-AE74-9B5E8984EB66}">
  <dimension ref="A2:L13"/>
  <sheetViews>
    <sheetView tabSelected="1" workbookViewId="0">
      <selection activeCell="L4" sqref="L4"/>
    </sheetView>
  </sheetViews>
  <sheetFormatPr defaultRowHeight="14.4" x14ac:dyDescent="0.3"/>
  <cols>
    <col min="3" max="3" width="11.21875" customWidth="1"/>
    <col min="4" max="4" width="10.88671875" customWidth="1"/>
    <col min="5" max="5" width="14.21875" customWidth="1"/>
    <col min="6" max="6" width="11.77734375" customWidth="1"/>
    <col min="7" max="7" width="23.33203125" customWidth="1"/>
  </cols>
  <sheetData>
    <row r="2" spans="1:12" ht="28.8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1"/>
      <c r="I2" s="2" t="s">
        <v>10</v>
      </c>
      <c r="J2" s="2" t="s">
        <v>11</v>
      </c>
      <c r="K2" s="2" t="s">
        <v>7</v>
      </c>
      <c r="L2" s="2" t="s">
        <v>12</v>
      </c>
    </row>
    <row r="3" spans="1:12" x14ac:dyDescent="0.3">
      <c r="B3" s="7">
        <v>1</v>
      </c>
      <c r="C3" s="7">
        <v>1000</v>
      </c>
      <c r="D3" s="7" t="s">
        <v>6</v>
      </c>
      <c r="E3" s="7" t="s">
        <v>6</v>
      </c>
      <c r="F3" s="7" t="s">
        <v>6</v>
      </c>
      <c r="G3" s="7">
        <v>1000</v>
      </c>
      <c r="I3" s="10">
        <v>0.65</v>
      </c>
      <c r="J3" s="10">
        <v>0.35</v>
      </c>
      <c r="K3" s="10">
        <v>0.4</v>
      </c>
      <c r="L3" s="10">
        <v>0.1</v>
      </c>
    </row>
    <row r="4" spans="1:12" x14ac:dyDescent="0.3">
      <c r="B4" s="3">
        <v>2</v>
      </c>
      <c r="C4" s="4">
        <f>E4-F4</f>
        <v>290</v>
      </c>
      <c r="D4" s="4">
        <f>C3*(1-K$3)</f>
        <v>600</v>
      </c>
      <c r="E4" s="4">
        <f>D4*I$3</f>
        <v>390</v>
      </c>
      <c r="F4" s="4">
        <f>C3*L$3</f>
        <v>100</v>
      </c>
      <c r="G4" s="3" t="s">
        <v>6</v>
      </c>
    </row>
    <row r="5" spans="1:12" x14ac:dyDescent="0.3">
      <c r="B5" s="7">
        <v>3</v>
      </c>
      <c r="C5" s="8">
        <f t="shared" ref="C5:C7" si="0">E5-F5</f>
        <v>84.100000000000009</v>
      </c>
      <c r="D5" s="8">
        <f t="shared" ref="D5:D7" si="1">C4*(1-K$3)</f>
        <v>174</v>
      </c>
      <c r="E5" s="8">
        <f t="shared" ref="E5:E7" si="2">D5*I$3</f>
        <v>113.10000000000001</v>
      </c>
      <c r="F5" s="8">
        <f t="shared" ref="F5:F8" si="3">C4*L$3</f>
        <v>29</v>
      </c>
      <c r="G5" s="7" t="s">
        <v>6</v>
      </c>
    </row>
    <row r="6" spans="1:12" x14ac:dyDescent="0.3">
      <c r="B6" s="3">
        <v>4</v>
      </c>
      <c r="C6" s="4">
        <f t="shared" si="0"/>
        <v>24.388999999999996</v>
      </c>
      <c r="D6" s="4">
        <f t="shared" si="1"/>
        <v>50.46</v>
      </c>
      <c r="E6" s="4">
        <f t="shared" si="2"/>
        <v>32.798999999999999</v>
      </c>
      <c r="F6" s="4">
        <f t="shared" si="3"/>
        <v>8.4100000000000019</v>
      </c>
      <c r="G6" s="3" t="s">
        <v>6</v>
      </c>
    </row>
    <row r="7" spans="1:12" x14ac:dyDescent="0.3">
      <c r="B7" s="7">
        <v>5</v>
      </c>
      <c r="C7" s="8">
        <f t="shared" si="0"/>
        <v>7.0728099999999969</v>
      </c>
      <c r="D7" s="8">
        <f t="shared" si="1"/>
        <v>14.633399999999996</v>
      </c>
      <c r="E7" s="8">
        <f t="shared" si="2"/>
        <v>9.5117099999999972</v>
      </c>
      <c r="F7" s="8">
        <f t="shared" si="3"/>
        <v>2.4388999999999998</v>
      </c>
      <c r="G7" s="7" t="s">
        <v>6</v>
      </c>
    </row>
    <row r="8" spans="1:12" x14ac:dyDescent="0.3">
      <c r="B8" s="3">
        <v>6</v>
      </c>
      <c r="C8" s="4">
        <f t="shared" ref="C8" si="4">E8-F8</f>
        <v>2.0511148999999991</v>
      </c>
      <c r="D8" s="4">
        <f t="shared" ref="D8" si="5">C7*(1-K$3)</f>
        <v>4.2436859999999976</v>
      </c>
      <c r="E8" s="4">
        <f t="shared" ref="E8" si="6">D8*I$3</f>
        <v>2.7583958999999987</v>
      </c>
      <c r="F8" s="4">
        <f t="shared" si="3"/>
        <v>0.70728099999999972</v>
      </c>
      <c r="G8" s="3" t="s">
        <v>6</v>
      </c>
    </row>
    <row r="9" spans="1:12" x14ac:dyDescent="0.3">
      <c r="A9" s="13" t="s">
        <v>8</v>
      </c>
      <c r="B9" s="13"/>
      <c r="C9" s="12">
        <f>SUM(C3:C8)</f>
        <v>1407.6129248999996</v>
      </c>
      <c r="D9" s="12">
        <f>SUM(D3:D8)</f>
        <v>843.33708600000011</v>
      </c>
      <c r="E9" s="12">
        <f>SUM(E3:E8)</f>
        <v>548.16910589999998</v>
      </c>
      <c r="F9" s="12">
        <f>SUM(F3:F8)</f>
        <v>140.55618099999998</v>
      </c>
      <c r="G9" s="12">
        <f>SUM(G3:G8)</f>
        <v>1000</v>
      </c>
    </row>
    <row r="10" spans="1:12" x14ac:dyDescent="0.3">
      <c r="B10" s="1"/>
      <c r="C10" s="1"/>
      <c r="D10" s="1"/>
      <c r="E10" s="1"/>
      <c r="F10" s="1"/>
      <c r="G10" s="1"/>
    </row>
    <row r="11" spans="1:12" x14ac:dyDescent="0.3">
      <c r="B11" s="1"/>
      <c r="C11" s="1"/>
      <c r="D11" s="1"/>
      <c r="E11" s="1"/>
      <c r="F11" s="1"/>
      <c r="G11" s="1"/>
    </row>
    <row r="12" spans="1:12" x14ac:dyDescent="0.3">
      <c r="B12" s="5" t="s">
        <v>9</v>
      </c>
      <c r="C12" s="6"/>
      <c r="D12" s="6"/>
      <c r="E12" s="9">
        <f>1/(1-I3*(1-K3)+L3)</f>
        <v>1.4084507042253522</v>
      </c>
      <c r="F12" s="1"/>
      <c r="G12" s="1"/>
    </row>
    <row r="13" spans="1:12" x14ac:dyDescent="0.3">
      <c r="B13" s="1"/>
      <c r="C13" s="1"/>
      <c r="D13" s="1"/>
      <c r="E13" s="1"/>
      <c r="F13" s="1"/>
      <c r="G13" s="1"/>
    </row>
  </sheetData>
  <mergeCells count="1">
    <mergeCell ref="A9:B9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70672E33E72248AE492171CA13CEBB" ma:contentTypeVersion="10" ma:contentTypeDescription="Utwórz nowy dokument." ma:contentTypeScope="" ma:versionID="14b0d86e11815622f55d9d5c3a7d2918">
  <xsd:schema xmlns:xsd="http://www.w3.org/2001/XMLSchema" xmlns:xs="http://www.w3.org/2001/XMLSchema" xmlns:p="http://schemas.microsoft.com/office/2006/metadata/properties" xmlns:ns2="07772ed7-80fd-4b97-8136-4a4933e76733" xmlns:ns3="963d8691-b0d9-4884-ba85-bb82f7df9374" targetNamespace="http://schemas.microsoft.com/office/2006/metadata/properties" ma:root="true" ma:fieldsID="27a1cd87d6e4fed0ad8d39b28df164d1" ns2:_="" ns3:_="">
    <xsd:import namespace="07772ed7-80fd-4b97-8136-4a4933e76733"/>
    <xsd:import namespace="963d8691-b0d9-4884-ba85-bb82f7df9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72ed7-80fd-4b97-8136-4a4933e76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d134e4b8-377d-442c-b5bd-7a06feb52b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d8691-b0d9-4884-ba85-bb82f7df93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9b9001-8691-48df-9998-b8cd3149745a}" ma:internalName="TaxCatchAll" ma:showField="CatchAllData" ma:web="963d8691-b0d9-4884-ba85-bb82f7df9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3d8691-b0d9-4884-ba85-bb82f7df9374" xsi:nil="true"/>
    <lcf76f155ced4ddcb4097134ff3c332f xmlns="07772ed7-80fd-4b97-8136-4a4933e767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1711F9-1D0D-430B-99F5-76A10D46C152}"/>
</file>

<file path=customXml/itemProps2.xml><?xml version="1.0" encoding="utf-8"?>
<ds:datastoreItem xmlns:ds="http://schemas.openxmlformats.org/officeDocument/2006/customXml" ds:itemID="{D79DDC84-D788-4EC2-8FAE-11C2CAE526CF}"/>
</file>

<file path=customXml/itemProps3.xml><?xml version="1.0" encoding="utf-8"?>
<ds:datastoreItem xmlns:ds="http://schemas.openxmlformats.org/officeDocument/2006/customXml" ds:itemID="{DA8B9234-0675-483E-803B-56459D388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Ciapek 0</dc:creator>
  <cp:lastModifiedBy>Ciapek 0</cp:lastModifiedBy>
  <cp:lastPrinted>2022-03-21T10:13:33Z</cp:lastPrinted>
  <dcterms:created xsi:type="dcterms:W3CDTF">2022-03-14T17:47:51Z</dcterms:created>
  <dcterms:modified xsi:type="dcterms:W3CDTF">2022-03-21T10:13:49Z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0x0101002C70672E33E72248AE492171CA13CEBB</vt:lpwstr>
  </property>
</Properties>
</file>